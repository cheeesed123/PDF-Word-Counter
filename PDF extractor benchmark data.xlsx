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lie\Desktop\Code Projects\Java\Maven\PDF extractor\Github ready version\"/>
    </mc:Choice>
  </mc:AlternateContent>
  <xr:revisionPtr revIDLastSave="0" documentId="13_ncr:1_{373E4092-D0BA-45C4-80BD-489FD1E214E2}" xr6:coauthVersionLast="47" xr6:coauthVersionMax="47" xr10:uidLastSave="{00000000-0000-0000-0000-000000000000}"/>
  <bookViews>
    <workbookView xWindow="-105" yWindow="0" windowWidth="13530" windowHeight="15585" xr2:uid="{21E55BD8-0618-435F-88CD-2604C8439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D24" i="1"/>
  <c r="D25" i="1"/>
  <c r="D26" i="1"/>
  <c r="D27" i="1"/>
  <c r="D28" i="1"/>
  <c r="D22" i="1"/>
  <c r="A28" i="1"/>
  <c r="A23" i="1"/>
  <c r="A24" i="1"/>
  <c r="A25" i="1"/>
  <c r="A26" i="1"/>
  <c r="A27" i="1"/>
  <c r="A22" i="1"/>
  <c r="N13" i="1"/>
  <c r="N14" i="1"/>
  <c r="N15" i="1"/>
  <c r="N16" i="1"/>
  <c r="N17" i="1"/>
  <c r="O17" i="1" s="1"/>
  <c r="P17" i="1" s="1"/>
  <c r="N18" i="1"/>
  <c r="O18" i="1" s="1"/>
  <c r="P18" i="1" s="1"/>
  <c r="N12" i="1"/>
  <c r="K13" i="1"/>
  <c r="K14" i="1"/>
  <c r="K15" i="1"/>
  <c r="K16" i="1"/>
  <c r="K17" i="1"/>
  <c r="L17" i="1" s="1"/>
  <c r="M17" i="1" s="1"/>
  <c r="K18" i="1"/>
  <c r="L18" i="1" s="1"/>
  <c r="M18" i="1" s="1"/>
  <c r="K12" i="1"/>
  <c r="H13" i="1"/>
  <c r="H14" i="1"/>
  <c r="H15" i="1"/>
  <c r="H16" i="1"/>
  <c r="H17" i="1"/>
  <c r="H18" i="1"/>
  <c r="I18" i="1" s="1"/>
  <c r="J18" i="1" s="1"/>
  <c r="H12" i="1"/>
  <c r="E13" i="1"/>
  <c r="F13" i="1" s="1"/>
  <c r="G13" i="1" s="1"/>
  <c r="E14" i="1"/>
  <c r="E15" i="1"/>
  <c r="E16" i="1"/>
  <c r="E17" i="1"/>
  <c r="F17" i="1" s="1"/>
  <c r="G17" i="1" s="1"/>
  <c r="E18" i="1"/>
  <c r="F18" i="1" s="1"/>
  <c r="G18" i="1" s="1"/>
  <c r="E12" i="1"/>
  <c r="B13" i="1"/>
  <c r="B14" i="1"/>
  <c r="B15" i="1"/>
  <c r="B16" i="1"/>
  <c r="B17" i="1"/>
  <c r="B18" i="1"/>
  <c r="C18" i="1" s="1"/>
  <c r="D18" i="1" s="1"/>
  <c r="B12" i="1"/>
  <c r="C12" i="1" s="1"/>
  <c r="D12" i="1" s="1"/>
  <c r="O16" i="1"/>
  <c r="P16" i="1" s="1"/>
  <c r="O15" i="1"/>
  <c r="P15" i="1" s="1"/>
  <c r="O14" i="1"/>
  <c r="P14" i="1" s="1"/>
  <c r="O13" i="1"/>
  <c r="P13" i="1" s="1"/>
  <c r="O12" i="1"/>
  <c r="P12" i="1" s="1"/>
  <c r="L16" i="1"/>
  <c r="M16" i="1" s="1"/>
  <c r="L15" i="1"/>
  <c r="M15" i="1" s="1"/>
  <c r="L14" i="1"/>
  <c r="M14" i="1" s="1"/>
  <c r="L13" i="1"/>
  <c r="M13" i="1" s="1"/>
  <c r="L12" i="1"/>
  <c r="M12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F16" i="1"/>
  <c r="G16" i="1" s="1"/>
  <c r="F15" i="1"/>
  <c r="G15" i="1" s="1"/>
  <c r="F14" i="1"/>
  <c r="G14" i="1" s="1"/>
  <c r="F12" i="1"/>
  <c r="G12" i="1" s="1"/>
  <c r="C13" i="1"/>
  <c r="D13" i="1" s="1"/>
  <c r="C14" i="1"/>
  <c r="D14" i="1" s="1"/>
  <c r="C15" i="1"/>
  <c r="D15" i="1"/>
  <c r="C16" i="1"/>
  <c r="D16" i="1" s="1"/>
  <c r="C17" i="1"/>
  <c r="D17" i="1" s="1"/>
  <c r="G2" i="1"/>
  <c r="H2" i="1" s="1"/>
  <c r="G3" i="1"/>
  <c r="H3" i="1" s="1"/>
  <c r="B23" i="1" s="1"/>
  <c r="G4" i="1"/>
  <c r="H4" i="1" s="1"/>
  <c r="B24" i="1" s="1"/>
  <c r="G5" i="1"/>
  <c r="H5" i="1" s="1"/>
  <c r="B25" i="1" s="1"/>
  <c r="G6" i="1"/>
  <c r="H6" i="1" s="1"/>
  <c r="B26" i="1" s="1"/>
  <c r="G7" i="1"/>
  <c r="H7" i="1" s="1"/>
  <c r="B27" i="1" s="1"/>
  <c r="G8" i="1"/>
  <c r="H8" i="1" s="1"/>
  <c r="B28" i="1" l="1"/>
  <c r="B22" i="1"/>
  <c r="Q12" i="1"/>
  <c r="R12" i="1" s="1"/>
  <c r="S12" i="1" s="1"/>
  <c r="Q13" i="1"/>
  <c r="R13" i="1" s="1"/>
  <c r="S13" i="1" s="1"/>
  <c r="Q14" i="1"/>
  <c r="R14" i="1" s="1"/>
  <c r="S14" i="1" s="1"/>
  <c r="Q15" i="1"/>
  <c r="R15" i="1" s="1"/>
  <c r="S15" i="1" s="1"/>
  <c r="Q16" i="1"/>
  <c r="R16" i="1" s="1"/>
  <c r="S16" i="1" s="1"/>
  <c r="Q17" i="1"/>
  <c r="R17" i="1" s="1"/>
  <c r="S17" i="1" s="1"/>
  <c r="Q18" i="1"/>
  <c r="R18" i="1" s="1"/>
  <c r="S18" i="1" s="1"/>
</calcChain>
</file>

<file path=xl/sharedStrings.xml><?xml version="1.0" encoding="utf-8"?>
<sst xmlns="http://schemas.openxmlformats.org/spreadsheetml/2006/main" count="39" uniqueCount="17">
  <si>
    <t># pages</t>
  </si>
  <si>
    <t>Trial 1</t>
  </si>
  <si>
    <t>Trial 2</t>
  </si>
  <si>
    <t>Trial 3</t>
  </si>
  <si>
    <t>Trial 4</t>
  </si>
  <si>
    <t>Trial 5</t>
  </si>
  <si>
    <t>Average</t>
  </si>
  <si>
    <t>All</t>
  </si>
  <si>
    <t>Using total Milliseconds</t>
  </si>
  <si>
    <t># of pages</t>
  </si>
  <si>
    <t>Milli</t>
  </si>
  <si>
    <t>Sec</t>
  </si>
  <si>
    <t>Min</t>
  </si>
  <si>
    <t>Ratio time/pages</t>
  </si>
  <si>
    <t>Page Count</t>
  </si>
  <si>
    <t>Time spent per page</t>
  </si>
  <si>
    <t>Trendline y=116.16x^(-1.209)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</si>
</sst>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_(* #,##0_);_(* \(#,##0\);_(* &quot;-&quot;??_);_(@_)"/>
    <numFmt numFmtId="168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67" fontId="0" fillId="0" borderId="1" xfId="1" applyNumberFormat="1" applyFont="1" applyBorder="1"/>
    <xf numFmtId="168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Font="1" applyFill="1" applyBorder="1"/>
    <xf numFmtId="0" fontId="0" fillId="0" borderId="14" xfId="0" applyFont="1" applyFill="1" applyBorder="1"/>
    <xf numFmtId="0" fontId="0" fillId="0" borderId="13" xfId="0" applyBorder="1"/>
    <xf numFmtId="0" fontId="0" fillId="0" borderId="14" xfId="0" applyBorder="1"/>
    <xf numFmtId="168" fontId="0" fillId="0" borderId="13" xfId="0" applyNumberFormat="1" applyBorder="1"/>
    <xf numFmtId="168" fontId="0" fillId="0" borderId="14" xfId="0" applyNumberFormat="1" applyBorder="1"/>
    <xf numFmtId="0" fontId="0" fillId="0" borderId="15" xfId="0" applyBorder="1" applyAlignment="1">
      <alignment horizontal="center"/>
    </xf>
    <xf numFmtId="167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3">
    <dxf>
      <numFmt numFmtId="35" formatCode="_(* #,##0.00_);_(* \(#,##0.00\);_(* &quot;-&quot;??_);_(@_)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* #,##0_);_(* \(#,##0\);_(* &quot;-&quot;??_);_(@_)"/>
      <border diagonalUp="0" diagonalDown="0">
        <left/>
        <right style="medium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Number of Pages vs Average Time Spent per Page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Time spent per page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Sheet1!$A$22:$A$28</c:f>
              <c:strCache>
                <c:ptCount val="7"/>
                <c:pt idx="0">
                  <c:v> 50 </c:v>
                </c:pt>
                <c:pt idx="1">
                  <c:v> 100 </c:v>
                </c:pt>
                <c:pt idx="2">
                  <c:v> 500 </c:v>
                </c:pt>
                <c:pt idx="3">
                  <c:v> 1,000 </c:v>
                </c:pt>
                <c:pt idx="4">
                  <c:v> 5,000 </c:v>
                </c:pt>
                <c:pt idx="5">
                  <c:v> 50,000 </c:v>
                </c:pt>
                <c:pt idx="6">
                  <c:v> All </c:v>
                </c:pt>
              </c:strCache>
            </c:strRef>
          </c:cat>
          <c:val>
            <c:numRef>
              <c:f>Sheet1!$B$22:$B$28</c:f>
              <c:numCache>
                <c:formatCode>_(* #,##0.00_);_(* \(#,##0.00\);_(* "-"??_);_(@_)</c:formatCode>
                <c:ptCount val="7"/>
                <c:pt idx="0">
                  <c:v>113.0676</c:v>
                </c:pt>
                <c:pt idx="1">
                  <c:v>65.281600000000012</c:v>
                </c:pt>
                <c:pt idx="2">
                  <c:v>25.095040000000001</c:v>
                </c:pt>
                <c:pt idx="3">
                  <c:v>19.520299999999999</c:v>
                </c:pt>
                <c:pt idx="4">
                  <c:v>14.345751999999999</c:v>
                </c:pt>
                <c:pt idx="5">
                  <c:v>14.0582776</c:v>
                </c:pt>
                <c:pt idx="6">
                  <c:v>13.126588172992056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1-4BBB-B75E-950D015321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29895680"/>
        <c:axId val="1929891840"/>
      </c:barChart>
      <c:lineChart>
        <c:grouping val="standard"/>
        <c:varyColors val="0"/>
        <c:ser>
          <c:idx val="1"/>
          <c:order val="1"/>
          <c:tx>
            <c:strRef>
              <c:f>Sheet1!$D$21</c:f>
              <c:strCache>
                <c:ptCount val="1"/>
                <c:pt idx="0">
                  <c:v>Trendline y=116.16x^(-1.209)</c:v>
                </c:pt>
              </c:strCache>
            </c:strRef>
          </c:tx>
          <c:spPr>
            <a:ln w="28575" cap="sq">
              <a:solidFill>
                <a:schemeClr val="accent2"/>
              </a:solidFill>
              <a:bevel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Sheet1!$A$22:$A$28</c:f>
              <c:strCache>
                <c:ptCount val="7"/>
                <c:pt idx="0">
                  <c:v> 50 </c:v>
                </c:pt>
                <c:pt idx="1">
                  <c:v> 100 </c:v>
                </c:pt>
                <c:pt idx="2">
                  <c:v> 500 </c:v>
                </c:pt>
                <c:pt idx="3">
                  <c:v> 1,000 </c:v>
                </c:pt>
                <c:pt idx="4">
                  <c:v> 5,000 </c:v>
                </c:pt>
                <c:pt idx="5">
                  <c:v> 50,000 </c:v>
                </c:pt>
                <c:pt idx="6">
                  <c:v> All </c:v>
                </c:pt>
              </c:strCache>
            </c:strRef>
          </c:cat>
          <c:val>
            <c:numRef>
              <c:f>Sheet1!$D$22:$D$28</c:f>
              <c:numCache>
                <c:formatCode>General</c:formatCode>
                <c:ptCount val="7"/>
                <c:pt idx="0">
                  <c:v>116.16</c:v>
                </c:pt>
                <c:pt idx="1">
                  <c:v>50.247138989176122</c:v>
                </c:pt>
                <c:pt idx="2">
                  <c:v>30.776342496522521</c:v>
                </c:pt>
                <c:pt idx="3">
                  <c:v>21.73532176822988</c:v>
                </c:pt>
                <c:pt idx="4">
                  <c:v>16.595940461509322</c:v>
                </c:pt>
                <c:pt idx="5">
                  <c:v>13.312871547875814</c:v>
                </c:pt>
                <c:pt idx="6">
                  <c:v>11.049256944583037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D1-4BBB-B75E-950D015321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9895680"/>
        <c:axId val="1929891840"/>
      </c:lineChart>
      <c:catAx>
        <c:axId val="192989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91840"/>
        <c:auto val="1"/>
        <c:lblAlgn val="ctr"/>
        <c:lblOffset val="100"/>
        <c:noMultiLvlLbl val="0"/>
      </c:catAx>
      <c:valAx>
        <c:axId val="192989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89568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573636</xdr:colOff>
      <xdr:row>18</xdr:row>
      <xdr:rowOff>84947</xdr:rowOff>
    </xdr:from>
    <xdr:to>
      <xdr:col>15</xdr:col>
      <xdr:colOff>67451</xdr:colOff>
      <xdr:row>41</xdr:row>
      <xdr:rowOff>124990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EB5BAF-A4E6-C7CE-855E-CE3F7AF69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56672F-81E7-4134-9503-3C7E8BA97328}" name="Table2" displayName="Table2" ref="A1:H8" totalsRowShown="0">
  <autoFilter ref="A1:H8" xr:uid="{A156672F-81E7-4134-9503-3C7E8BA97328}"/>
  <tableColumns count="8">
    <tableColumn id="1" xr3:uid="{16442FAC-B005-48EB-B4C1-CEF81238FF36}" name="# pages" dataDxfId="2" dataCellStyle="Comma"/>
    <tableColumn id="2" xr3:uid="{1112AD28-95EA-459A-ACD5-E931C6FE4D3B}" name="Trial 1"/>
    <tableColumn id="3" xr3:uid="{24C42E3F-95B9-49F9-B7A8-ACEE817BA9BD}" name="Trial 2"/>
    <tableColumn id="4" xr3:uid="{B2E16ED8-8C66-4A8D-8BF1-B304A99D9AAF}" name="Trial 3"/>
    <tableColumn id="5" xr3:uid="{2A1577F0-E712-4AF0-8A2B-4F27935BDF4B}" name="Trial 4"/>
    <tableColumn id="6" xr3:uid="{474CEE7B-0F35-4608-A840-44D96518DF22}" name="Trial 5"/>
    <tableColumn id="7" xr3:uid="{6CC1CB7D-0061-41E1-BE0B-034DD10DF50D}" name="Average" dataDxfId="1">
      <calculatedColumnFormula>AVERAGE(Table2[[#This Row],[Trial 1]:[Trial 5]])</calculatedColumnFormula>
    </tableColumn>
    <tableColumn id="8" xr3:uid="{B60F22AA-6211-46A9-9FAB-65F500FF4AA8}" name="Ratio time/pages" dataDxfId="0">
      <calculatedColumnFormula>G2/A2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B30A-47C6-4379-93F1-BDF83D180BBD}">
  <dimension ref="A1:S28"/>
  <sheetViews>
    <sheetView tabSelected="1" zoomScale="120" zoomScaleNormal="120" workbookViewId="0">
      <selection activeCell="F20" sqref="F20"/>
    </sheetView>
  </sheetViews>
  <sheetFormatPr defaultRowHeight="15" x14ac:dyDescent="0.25"/>
  <cols>
    <col min="1" max="1" width="11.28515625" bestFit="1" customWidth="1"/>
    <col min="2" max="3" width="9.85546875" bestFit="1" customWidth="1"/>
    <col min="4" max="4" width="13" bestFit="1" customWidth="1"/>
    <col min="5" max="6" width="9.85546875" bestFit="1" customWidth="1"/>
    <col min="7" max="7" width="13" bestFit="1" customWidth="1"/>
    <col min="8" max="8" width="19.5703125" bestFit="1" customWidth="1"/>
    <col min="9" max="9" width="25.7109375" bestFit="1" customWidth="1"/>
    <col min="10" max="10" width="13" bestFit="1" customWidth="1"/>
    <col min="11" max="11" width="9.28515625" bestFit="1" customWidth="1"/>
    <col min="12" max="12" width="9.85546875" bestFit="1" customWidth="1"/>
    <col min="13" max="13" width="13" bestFit="1" customWidth="1"/>
    <col min="14" max="15" width="8.7109375" bestFit="1" customWidth="1"/>
    <col min="16" max="16" width="13" bestFit="1" customWidth="1"/>
    <col min="17" max="18" width="10.85546875" bestFit="1" customWidth="1"/>
    <col min="19" max="19" width="13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8</v>
      </c>
    </row>
    <row r="2" spans="1:19" x14ac:dyDescent="0.25">
      <c r="A2" s="1">
        <v>50</v>
      </c>
      <c r="B2">
        <v>5846.1</v>
      </c>
      <c r="C2">
        <v>5519.6</v>
      </c>
      <c r="D2">
        <v>5548.6</v>
      </c>
      <c r="E2" s="2">
        <v>5690</v>
      </c>
      <c r="F2">
        <v>5662.6</v>
      </c>
      <c r="G2">
        <f>AVERAGE(Table2[[#This Row],[Trial 1]:[Trial 5]])</f>
        <v>5653.38</v>
      </c>
      <c r="H2" s="23">
        <f>G2/A2</f>
        <v>113.0676</v>
      </c>
    </row>
    <row r="3" spans="1:19" x14ac:dyDescent="0.25">
      <c r="A3" s="1">
        <v>100</v>
      </c>
      <c r="B3">
        <v>6562.4</v>
      </c>
      <c r="C3" s="2">
        <v>6772</v>
      </c>
      <c r="D3">
        <v>6469.5</v>
      </c>
      <c r="E3">
        <v>6550.8</v>
      </c>
      <c r="F3">
        <v>6286.1</v>
      </c>
      <c r="G3">
        <f>AVERAGE(Table2[[#This Row],[Trial 1]:[Trial 5]])</f>
        <v>6528.1600000000008</v>
      </c>
      <c r="H3" s="23">
        <f t="shared" ref="H3:H7" si="0">G3/A3</f>
        <v>65.281600000000012</v>
      </c>
    </row>
    <row r="4" spans="1:19" x14ac:dyDescent="0.25">
      <c r="A4" s="1">
        <v>500</v>
      </c>
      <c r="B4">
        <v>11719.3</v>
      </c>
      <c r="C4" s="2">
        <v>13096</v>
      </c>
      <c r="D4">
        <v>12763.8</v>
      </c>
      <c r="E4">
        <v>13022.5</v>
      </c>
      <c r="F4" s="2">
        <v>12136</v>
      </c>
      <c r="G4">
        <f>AVERAGE(Table2[[#This Row],[Trial 1]:[Trial 5]])</f>
        <v>12547.52</v>
      </c>
      <c r="H4" s="23">
        <f t="shared" si="0"/>
        <v>25.095040000000001</v>
      </c>
    </row>
    <row r="5" spans="1:19" x14ac:dyDescent="0.25">
      <c r="A5" s="1">
        <v>1000</v>
      </c>
      <c r="B5">
        <v>19563.8</v>
      </c>
      <c r="C5" s="2">
        <v>20149</v>
      </c>
      <c r="D5">
        <v>19158.2</v>
      </c>
      <c r="E5">
        <v>19735.2</v>
      </c>
      <c r="F5">
        <v>18995.3</v>
      </c>
      <c r="G5">
        <f>AVERAGE(Table2[[#This Row],[Trial 1]:[Trial 5]])</f>
        <v>19520.3</v>
      </c>
      <c r="H5" s="23">
        <f t="shared" si="0"/>
        <v>19.520299999999999</v>
      </c>
    </row>
    <row r="6" spans="1:19" x14ac:dyDescent="0.25">
      <c r="A6" s="1">
        <v>5000</v>
      </c>
      <c r="B6" s="2">
        <v>71970</v>
      </c>
      <c r="C6">
        <v>70482.399999999994</v>
      </c>
      <c r="D6">
        <v>72101.8</v>
      </c>
      <c r="E6">
        <v>72821.3</v>
      </c>
      <c r="F6">
        <v>71268.3</v>
      </c>
      <c r="G6">
        <f>AVERAGE(Table2[[#This Row],[Trial 1]:[Trial 5]])</f>
        <v>71728.759999999995</v>
      </c>
      <c r="H6" s="23">
        <f t="shared" si="0"/>
        <v>14.345751999999999</v>
      </c>
    </row>
    <row r="7" spans="1:19" x14ac:dyDescent="0.25">
      <c r="A7" s="1">
        <v>50000</v>
      </c>
      <c r="B7">
        <v>645452.4</v>
      </c>
      <c r="C7" s="2">
        <v>666337</v>
      </c>
      <c r="D7">
        <v>742344.1</v>
      </c>
      <c r="E7">
        <v>668428.9</v>
      </c>
      <c r="F7" s="2">
        <v>792007</v>
      </c>
      <c r="G7">
        <f>AVERAGE(Table2[[#This Row],[Trial 1]:[Trial 5]])</f>
        <v>702913.88</v>
      </c>
      <c r="H7" s="23">
        <f t="shared" si="0"/>
        <v>14.0582776</v>
      </c>
    </row>
    <row r="8" spans="1:19" x14ac:dyDescent="0.25">
      <c r="A8" s="1" t="s">
        <v>7</v>
      </c>
      <c r="B8">
        <v>715822.9</v>
      </c>
      <c r="C8">
        <v>710414.9</v>
      </c>
      <c r="D8">
        <v>746100.5</v>
      </c>
      <c r="E8">
        <v>771115.9</v>
      </c>
      <c r="F8">
        <v>774651.9</v>
      </c>
      <c r="G8">
        <f>AVERAGE(Table2[[#This Row],[Trial 1]:[Trial 5]])</f>
        <v>743621.22</v>
      </c>
      <c r="H8" s="23">
        <f>G8/SUM($A$2:$A$7)</f>
        <v>13.126588172992056</v>
      </c>
    </row>
    <row r="10" spans="1:19" ht="15.75" thickBot="1" x14ac:dyDescent="0.3">
      <c r="B10" s="21" t="s">
        <v>1</v>
      </c>
      <c r="C10" s="5"/>
      <c r="D10" s="8"/>
      <c r="E10" s="12" t="s">
        <v>2</v>
      </c>
      <c r="F10" s="6"/>
      <c r="G10" s="13"/>
      <c r="H10" s="12" t="s">
        <v>3</v>
      </c>
      <c r="I10" s="6"/>
      <c r="J10" s="13"/>
      <c r="K10" s="12" t="s">
        <v>4</v>
      </c>
      <c r="L10" s="6"/>
      <c r="M10" s="13"/>
      <c r="N10" s="12" t="s">
        <v>5</v>
      </c>
      <c r="O10" s="6"/>
      <c r="P10" s="13"/>
      <c r="Q10" s="12" t="s">
        <v>6</v>
      </c>
      <c r="R10" s="6"/>
      <c r="S10" s="13"/>
    </row>
    <row r="11" spans="1:19" ht="16.5" thickTop="1" thickBot="1" x14ac:dyDescent="0.3">
      <c r="A11" t="s">
        <v>9</v>
      </c>
      <c r="B11" s="14" t="s">
        <v>10</v>
      </c>
      <c r="C11" s="7" t="s">
        <v>11</v>
      </c>
      <c r="D11" s="9" t="s">
        <v>12</v>
      </c>
      <c r="E11" s="14" t="s">
        <v>10</v>
      </c>
      <c r="F11" s="7" t="s">
        <v>11</v>
      </c>
      <c r="G11" s="9" t="s">
        <v>12</v>
      </c>
      <c r="H11" s="14" t="s">
        <v>10</v>
      </c>
      <c r="I11" s="7" t="s">
        <v>11</v>
      </c>
      <c r="J11" s="9" t="s">
        <v>12</v>
      </c>
      <c r="K11" s="14" t="s">
        <v>10</v>
      </c>
      <c r="L11" s="7" t="s">
        <v>11</v>
      </c>
      <c r="M11" s="9" t="s">
        <v>12</v>
      </c>
      <c r="N11" s="14" t="s">
        <v>10</v>
      </c>
      <c r="O11" s="7" t="s">
        <v>11</v>
      </c>
      <c r="P11" s="9" t="s">
        <v>12</v>
      </c>
      <c r="Q11" s="14" t="s">
        <v>10</v>
      </c>
      <c r="R11" s="7" t="s">
        <v>11</v>
      </c>
      <c r="S11" s="9" t="s">
        <v>12</v>
      </c>
    </row>
    <row r="12" spans="1:19" x14ac:dyDescent="0.25">
      <c r="A12">
        <v>50</v>
      </c>
      <c r="B12" s="17">
        <f>B2</f>
        <v>5846.1</v>
      </c>
      <c r="C12" s="3">
        <f>B12/1000</f>
        <v>5.8461000000000007</v>
      </c>
      <c r="D12" s="10">
        <f>C12/60</f>
        <v>9.7435000000000008E-2</v>
      </c>
      <c r="E12" s="15">
        <f>C2</f>
        <v>5519.6</v>
      </c>
      <c r="F12" s="3">
        <f>E12/1000</f>
        <v>5.5196000000000005</v>
      </c>
      <c r="G12" s="10">
        <f>F12/60</f>
        <v>9.1993333333333344E-2</v>
      </c>
      <c r="H12" s="17">
        <f>D2</f>
        <v>5548.6</v>
      </c>
      <c r="I12" s="3">
        <f>H12/1000</f>
        <v>5.5486000000000004</v>
      </c>
      <c r="J12" s="10">
        <f>I12/60</f>
        <v>9.2476666666666679E-2</v>
      </c>
      <c r="K12" s="19">
        <f>E2</f>
        <v>5690</v>
      </c>
      <c r="L12" s="3">
        <f>K12/1000</f>
        <v>5.69</v>
      </c>
      <c r="M12" s="10">
        <f>L12/60</f>
        <v>9.4833333333333339E-2</v>
      </c>
      <c r="N12" s="17">
        <f>F2</f>
        <v>5662.6</v>
      </c>
      <c r="O12" s="3">
        <f>N12/1000</f>
        <v>5.6626000000000003</v>
      </c>
      <c r="P12" s="10">
        <f>O12/60</f>
        <v>9.4376666666666678E-2</v>
      </c>
      <c r="Q12" s="17">
        <f>G2</f>
        <v>5653.38</v>
      </c>
      <c r="R12" s="3">
        <f>Q12/1000</f>
        <v>5.6533800000000003</v>
      </c>
      <c r="S12" s="10">
        <f>R12/60</f>
        <v>9.4223000000000001E-2</v>
      </c>
    </row>
    <row r="13" spans="1:19" x14ac:dyDescent="0.25">
      <c r="A13">
        <v>100</v>
      </c>
      <c r="B13" s="17">
        <f t="shared" ref="B13:B18" si="1">B3</f>
        <v>6562.4</v>
      </c>
      <c r="C13" s="3">
        <f t="shared" ref="C13:C18" si="2">B13/1000</f>
        <v>6.5623999999999993</v>
      </c>
      <c r="D13" s="10">
        <f t="shared" ref="D13:D18" si="3">C13/60</f>
        <v>0.10937333333333332</v>
      </c>
      <c r="E13" s="15">
        <f t="shared" ref="E13:E18" si="4">C3</f>
        <v>6772</v>
      </c>
      <c r="F13" s="3">
        <f t="shared" ref="F13:F18" si="5">E13/1000</f>
        <v>6.7720000000000002</v>
      </c>
      <c r="G13" s="10">
        <f t="shared" ref="G13:G18" si="6">F13/60</f>
        <v>0.11286666666666667</v>
      </c>
      <c r="H13" s="17">
        <f t="shared" ref="H13:H18" si="7">D3</f>
        <v>6469.5</v>
      </c>
      <c r="I13" s="3">
        <f>H13/1000</f>
        <v>6.4695</v>
      </c>
      <c r="J13" s="10">
        <f t="shared" ref="J13:J18" si="8">I13/60</f>
        <v>0.107825</v>
      </c>
      <c r="K13" s="19">
        <f t="shared" ref="K13:K18" si="9">E3</f>
        <v>6550.8</v>
      </c>
      <c r="L13" s="3">
        <f t="shared" ref="L13:L18" si="10">K13/1000</f>
        <v>6.5508000000000006</v>
      </c>
      <c r="M13" s="10">
        <f t="shared" ref="M13:M18" si="11">L13/60</f>
        <v>0.10918000000000001</v>
      </c>
      <c r="N13" s="17">
        <f t="shared" ref="N13:N18" si="12">F3</f>
        <v>6286.1</v>
      </c>
      <c r="O13" s="3">
        <f t="shared" ref="O13:O18" si="13">N13/1000</f>
        <v>6.2861000000000002</v>
      </c>
      <c r="P13" s="10">
        <f t="shared" ref="P13:P18" si="14">O13/60</f>
        <v>0.10476833333333334</v>
      </c>
      <c r="Q13" s="17">
        <f t="shared" ref="Q13:Q18" si="15">G3</f>
        <v>6528.1600000000008</v>
      </c>
      <c r="R13" s="3">
        <f t="shared" ref="R13:R18" si="16">Q13/1000</f>
        <v>6.5281600000000006</v>
      </c>
      <c r="S13" s="10">
        <f t="shared" ref="S13:S18" si="17">R13/60</f>
        <v>0.10880266666666667</v>
      </c>
    </row>
    <row r="14" spans="1:19" x14ac:dyDescent="0.25">
      <c r="A14">
        <v>500</v>
      </c>
      <c r="B14" s="17">
        <f t="shared" si="1"/>
        <v>11719.3</v>
      </c>
      <c r="C14" s="3">
        <f t="shared" si="2"/>
        <v>11.719299999999999</v>
      </c>
      <c r="D14" s="10">
        <f t="shared" si="3"/>
        <v>0.19532166666666664</v>
      </c>
      <c r="E14" s="15">
        <f t="shared" si="4"/>
        <v>13096</v>
      </c>
      <c r="F14" s="3">
        <f t="shared" si="5"/>
        <v>13.096</v>
      </c>
      <c r="G14" s="10">
        <f t="shared" si="6"/>
        <v>0.21826666666666666</v>
      </c>
      <c r="H14" s="17">
        <f t="shared" si="7"/>
        <v>12763.8</v>
      </c>
      <c r="I14" s="3">
        <f>H14/1000</f>
        <v>12.7638</v>
      </c>
      <c r="J14" s="10">
        <f t="shared" si="8"/>
        <v>0.21273</v>
      </c>
      <c r="K14" s="19">
        <f t="shared" si="9"/>
        <v>13022.5</v>
      </c>
      <c r="L14" s="3">
        <f t="shared" si="10"/>
        <v>13.022500000000001</v>
      </c>
      <c r="M14" s="10">
        <f t="shared" si="11"/>
        <v>0.21704166666666669</v>
      </c>
      <c r="N14" s="17">
        <f t="shared" si="12"/>
        <v>12136</v>
      </c>
      <c r="O14" s="3">
        <f t="shared" si="13"/>
        <v>12.135999999999999</v>
      </c>
      <c r="P14" s="10">
        <f t="shared" si="14"/>
        <v>0.20226666666666665</v>
      </c>
      <c r="Q14" s="17">
        <f t="shared" si="15"/>
        <v>12547.52</v>
      </c>
      <c r="R14" s="3">
        <f t="shared" si="16"/>
        <v>12.54752</v>
      </c>
      <c r="S14" s="10">
        <f t="shared" si="17"/>
        <v>0.20912533333333333</v>
      </c>
    </row>
    <row r="15" spans="1:19" x14ac:dyDescent="0.25">
      <c r="A15">
        <v>1000</v>
      </c>
      <c r="B15" s="17">
        <f t="shared" si="1"/>
        <v>19563.8</v>
      </c>
      <c r="C15" s="3">
        <f t="shared" si="2"/>
        <v>19.563800000000001</v>
      </c>
      <c r="D15" s="10">
        <f t="shared" si="3"/>
        <v>0.32606333333333332</v>
      </c>
      <c r="E15" s="15">
        <f t="shared" si="4"/>
        <v>20149</v>
      </c>
      <c r="F15" s="3">
        <f t="shared" si="5"/>
        <v>20.149000000000001</v>
      </c>
      <c r="G15" s="10">
        <f t="shared" si="6"/>
        <v>0.33581666666666671</v>
      </c>
      <c r="H15" s="17">
        <f t="shared" si="7"/>
        <v>19158.2</v>
      </c>
      <c r="I15" s="3">
        <f>H15/1000</f>
        <v>19.158200000000001</v>
      </c>
      <c r="J15" s="10">
        <f t="shared" si="8"/>
        <v>0.31930333333333333</v>
      </c>
      <c r="K15" s="19">
        <f t="shared" si="9"/>
        <v>19735.2</v>
      </c>
      <c r="L15" s="3">
        <f t="shared" si="10"/>
        <v>19.735199999999999</v>
      </c>
      <c r="M15" s="10">
        <f t="shared" si="11"/>
        <v>0.32891999999999999</v>
      </c>
      <c r="N15" s="17">
        <f t="shared" si="12"/>
        <v>18995.3</v>
      </c>
      <c r="O15" s="3">
        <f t="shared" si="13"/>
        <v>18.9953</v>
      </c>
      <c r="P15" s="10">
        <f t="shared" si="14"/>
        <v>0.31658833333333336</v>
      </c>
      <c r="Q15" s="17">
        <f t="shared" si="15"/>
        <v>19520.3</v>
      </c>
      <c r="R15" s="3">
        <f t="shared" si="16"/>
        <v>19.520299999999999</v>
      </c>
      <c r="S15" s="10">
        <f t="shared" si="17"/>
        <v>0.32533833333333334</v>
      </c>
    </row>
    <row r="16" spans="1:19" x14ac:dyDescent="0.25">
      <c r="A16">
        <v>5000</v>
      </c>
      <c r="B16" s="17">
        <f t="shared" si="1"/>
        <v>71970</v>
      </c>
      <c r="C16" s="3">
        <f t="shared" si="2"/>
        <v>71.97</v>
      </c>
      <c r="D16" s="10">
        <f t="shared" si="3"/>
        <v>1.1995</v>
      </c>
      <c r="E16" s="15">
        <f t="shared" si="4"/>
        <v>70482.399999999994</v>
      </c>
      <c r="F16" s="3">
        <f t="shared" si="5"/>
        <v>70.482399999999998</v>
      </c>
      <c r="G16" s="10">
        <f t="shared" si="6"/>
        <v>1.1747066666666666</v>
      </c>
      <c r="H16" s="17">
        <f t="shared" si="7"/>
        <v>72101.8</v>
      </c>
      <c r="I16" s="3">
        <f>H16/1000</f>
        <v>72.101799999999997</v>
      </c>
      <c r="J16" s="10">
        <f t="shared" si="8"/>
        <v>1.2016966666666666</v>
      </c>
      <c r="K16" s="19">
        <f t="shared" si="9"/>
        <v>72821.3</v>
      </c>
      <c r="L16" s="3">
        <f t="shared" si="10"/>
        <v>72.821300000000008</v>
      </c>
      <c r="M16" s="10">
        <f t="shared" si="11"/>
        <v>1.2136883333333335</v>
      </c>
      <c r="N16" s="17">
        <f t="shared" si="12"/>
        <v>71268.3</v>
      </c>
      <c r="O16" s="3">
        <f t="shared" si="13"/>
        <v>71.268299999999996</v>
      </c>
      <c r="P16" s="10">
        <f t="shared" si="14"/>
        <v>1.187805</v>
      </c>
      <c r="Q16" s="17">
        <f t="shared" si="15"/>
        <v>71728.759999999995</v>
      </c>
      <c r="R16" s="3">
        <f t="shared" si="16"/>
        <v>71.728759999999994</v>
      </c>
      <c r="S16" s="10">
        <f t="shared" si="17"/>
        <v>1.1954793333333333</v>
      </c>
    </row>
    <row r="17" spans="1:19" x14ac:dyDescent="0.25">
      <c r="A17">
        <v>50000</v>
      </c>
      <c r="B17" s="17">
        <f t="shared" si="1"/>
        <v>645452.4</v>
      </c>
      <c r="C17" s="3">
        <f t="shared" si="2"/>
        <v>645.45240000000001</v>
      </c>
      <c r="D17" s="10">
        <f t="shared" si="3"/>
        <v>10.757540000000001</v>
      </c>
      <c r="E17" s="15">
        <f t="shared" si="4"/>
        <v>666337</v>
      </c>
      <c r="F17" s="3">
        <f t="shared" si="5"/>
        <v>666.33699999999999</v>
      </c>
      <c r="G17" s="10">
        <f t="shared" si="6"/>
        <v>11.105616666666666</v>
      </c>
      <c r="H17" s="17">
        <f t="shared" si="7"/>
        <v>742344.1</v>
      </c>
      <c r="I17" s="3">
        <f>H17/1000</f>
        <v>742.34410000000003</v>
      </c>
      <c r="J17" s="10">
        <f t="shared" si="8"/>
        <v>12.372401666666667</v>
      </c>
      <c r="K17" s="19">
        <f t="shared" si="9"/>
        <v>668428.9</v>
      </c>
      <c r="L17" s="3">
        <f t="shared" si="10"/>
        <v>668.4289</v>
      </c>
      <c r="M17" s="10">
        <f t="shared" si="11"/>
        <v>11.140481666666666</v>
      </c>
      <c r="N17" s="17">
        <f t="shared" si="12"/>
        <v>792007</v>
      </c>
      <c r="O17" s="3">
        <f t="shared" si="13"/>
        <v>792.00699999999995</v>
      </c>
      <c r="P17" s="10">
        <f t="shared" si="14"/>
        <v>13.200116666666666</v>
      </c>
      <c r="Q17" s="17">
        <f t="shared" si="15"/>
        <v>702913.88</v>
      </c>
      <c r="R17" s="3">
        <f t="shared" si="16"/>
        <v>702.91387999999995</v>
      </c>
      <c r="S17" s="10">
        <f t="shared" si="17"/>
        <v>11.715231333333332</v>
      </c>
    </row>
    <row r="18" spans="1:19" x14ac:dyDescent="0.25">
      <c r="A18" t="s">
        <v>7</v>
      </c>
      <c r="B18" s="18">
        <f t="shared" si="1"/>
        <v>715822.9</v>
      </c>
      <c r="C18" s="4">
        <f t="shared" si="2"/>
        <v>715.8229</v>
      </c>
      <c r="D18" s="11">
        <f t="shared" si="3"/>
        <v>11.930381666666667</v>
      </c>
      <c r="E18" s="16">
        <f t="shared" si="4"/>
        <v>710414.9</v>
      </c>
      <c r="F18" s="4">
        <f t="shared" si="5"/>
        <v>710.41489999999999</v>
      </c>
      <c r="G18" s="11">
        <f t="shared" si="6"/>
        <v>11.840248333333333</v>
      </c>
      <c r="H18" s="18">
        <f t="shared" si="7"/>
        <v>746100.5</v>
      </c>
      <c r="I18" s="4">
        <f>H18/1000</f>
        <v>746.10050000000001</v>
      </c>
      <c r="J18" s="11">
        <f t="shared" si="8"/>
        <v>12.435008333333334</v>
      </c>
      <c r="K18" s="20">
        <f t="shared" si="9"/>
        <v>771115.9</v>
      </c>
      <c r="L18" s="4">
        <f t="shared" si="10"/>
        <v>771.11590000000001</v>
      </c>
      <c r="M18" s="11">
        <f t="shared" si="11"/>
        <v>12.851931666666667</v>
      </c>
      <c r="N18" s="18">
        <f t="shared" si="12"/>
        <v>774651.9</v>
      </c>
      <c r="O18" s="4">
        <f t="shared" si="13"/>
        <v>774.65190000000007</v>
      </c>
      <c r="P18" s="11">
        <f t="shared" si="14"/>
        <v>12.910865000000001</v>
      </c>
      <c r="Q18" s="18">
        <f t="shared" si="15"/>
        <v>743621.22</v>
      </c>
      <c r="R18" s="4">
        <f t="shared" si="16"/>
        <v>743.62121999999999</v>
      </c>
      <c r="S18" s="11">
        <f t="shared" si="17"/>
        <v>12.393687</v>
      </c>
    </row>
    <row r="21" spans="1:19" x14ac:dyDescent="0.25">
      <c r="A21" t="s">
        <v>14</v>
      </c>
      <c r="B21" t="s">
        <v>15</v>
      </c>
      <c r="D21" t="s">
        <v>16</v>
      </c>
    </row>
    <row r="22" spans="1:19" x14ac:dyDescent="0.25">
      <c r="A22" s="22">
        <f>A2</f>
        <v>50</v>
      </c>
      <c r="B22" s="23">
        <f>H2</f>
        <v>113.0676</v>
      </c>
      <c r="C22">
        <v>1</v>
      </c>
      <c r="D22">
        <f>116.16*POWER(C22, -1.209)</f>
        <v>116.16</v>
      </c>
    </row>
    <row r="23" spans="1:19" x14ac:dyDescent="0.25">
      <c r="A23" s="22">
        <f t="shared" ref="A23:A28" si="18">A3</f>
        <v>100</v>
      </c>
      <c r="B23" s="23">
        <f t="shared" ref="B23:B27" si="19">H3</f>
        <v>65.281600000000012</v>
      </c>
      <c r="C23">
        <v>2</v>
      </c>
      <c r="D23">
        <f t="shared" ref="D23:D28" si="20">116.16*POWER(C23, -1.209)</f>
        <v>50.247138989176122</v>
      </c>
    </row>
    <row r="24" spans="1:19" x14ac:dyDescent="0.25">
      <c r="A24" s="22">
        <f t="shared" si="18"/>
        <v>500</v>
      </c>
      <c r="B24" s="23">
        <f t="shared" si="19"/>
        <v>25.095040000000001</v>
      </c>
      <c r="C24">
        <v>3</v>
      </c>
      <c r="D24">
        <f t="shared" si="20"/>
        <v>30.776342496522521</v>
      </c>
    </row>
    <row r="25" spans="1:19" x14ac:dyDescent="0.25">
      <c r="A25" s="22">
        <f t="shared" si="18"/>
        <v>1000</v>
      </c>
      <c r="B25" s="23">
        <f t="shared" si="19"/>
        <v>19.520299999999999</v>
      </c>
      <c r="C25">
        <v>4</v>
      </c>
      <c r="D25">
        <f t="shared" si="20"/>
        <v>21.73532176822988</v>
      </c>
    </row>
    <row r="26" spans="1:19" x14ac:dyDescent="0.25">
      <c r="A26" s="22">
        <f t="shared" si="18"/>
        <v>5000</v>
      </c>
      <c r="B26" s="23">
        <f t="shared" si="19"/>
        <v>14.345751999999999</v>
      </c>
      <c r="C26">
        <v>5</v>
      </c>
      <c r="D26">
        <f t="shared" si="20"/>
        <v>16.595940461509322</v>
      </c>
    </row>
    <row r="27" spans="1:19" x14ac:dyDescent="0.25">
      <c r="A27" s="22">
        <f t="shared" si="18"/>
        <v>50000</v>
      </c>
      <c r="B27" s="23">
        <f t="shared" si="19"/>
        <v>14.0582776</v>
      </c>
      <c r="C27">
        <v>6</v>
      </c>
      <c r="D27">
        <f t="shared" si="20"/>
        <v>13.312871547875814</v>
      </c>
    </row>
    <row r="28" spans="1:19" x14ac:dyDescent="0.25">
      <c r="A28" s="22" t="str">
        <f t="shared" si="18"/>
        <v>All</v>
      </c>
      <c r="B28" s="23">
        <f>H8</f>
        <v>13.126588172992056</v>
      </c>
      <c r="C28">
        <v>7</v>
      </c>
      <c r="D28">
        <f t="shared" si="20"/>
        <v>11.049256944583037</v>
      </c>
    </row>
  </sheetData>
  <mergeCells count="6">
    <mergeCell ref="B10:D10"/>
    <mergeCell ref="N10:P10"/>
    <mergeCell ref="K10:M10"/>
    <mergeCell ref="H10:J10"/>
    <mergeCell ref="E10:G10"/>
    <mergeCell ref="Q10:S10"/>
  </mergeCells>
  <phoneticPr fontId="2" type="noConversion"/>
  <pageMargins left="0.7" right="0.7" top="0.75" bottom="0.75" header="0.3" footer="0.3"/>
  <pageSetup orientation="portrait" r:id="rId1"/>
  <ignoredErrors>
    <ignoredError sqref="H8" calculatedColumn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Smith</dc:creator>
  <cp:lastModifiedBy>Sam Smith</cp:lastModifiedBy>
  <dcterms:created xsi:type="dcterms:W3CDTF">2026-07-24T11:30:22Z</dcterms:created>
  <dcterms:modified xsi:type="dcterms:W3CDTF">2026-07-24T18:22:20Z</dcterms:modified>
</cp:coreProperties>
</file>